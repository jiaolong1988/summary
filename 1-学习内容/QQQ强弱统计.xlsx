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E:\日常总结\1-学习内容\"/>
    </mc:Choice>
  </mc:AlternateContent>
  <xr:revisionPtr revIDLastSave="0" documentId="13_ncr:1_{D219DCCB-AE8D-4411-A582-2B71D669DAC6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QQQ强弱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" i="1" l="1"/>
  <c r="L5" i="1"/>
  <c r="N5" i="1" s="1"/>
  <c r="B5" i="1"/>
  <c r="C5" i="1"/>
  <c r="D5" i="1"/>
  <c r="E5" i="1"/>
  <c r="F5" i="1"/>
  <c r="G5" i="1"/>
  <c r="H5" i="1"/>
  <c r="I5" i="1"/>
  <c r="J5" i="1"/>
  <c r="K5" i="1"/>
</calcChain>
</file>

<file path=xl/sharedStrings.xml><?xml version="1.0" encoding="utf-8"?>
<sst xmlns="http://schemas.openxmlformats.org/spreadsheetml/2006/main" count="9" uniqueCount="9">
  <si>
    <t>QQQ</t>
    <phoneticPr fontId="1" type="noConversion"/>
  </si>
  <si>
    <t>SPY</t>
    <phoneticPr fontId="1" type="noConversion"/>
  </si>
  <si>
    <t>QQQ/SPY</t>
    <phoneticPr fontId="1" type="noConversion"/>
  </si>
  <si>
    <t>类别</t>
    <phoneticPr fontId="1" type="noConversion"/>
  </si>
  <si>
    <t>N值</t>
    <phoneticPr fontId="1" type="noConversion"/>
  </si>
  <si>
    <t>1历史时间===================&gt;10最新时间，每周收盘价格</t>
    <phoneticPr fontId="1" type="noConversion"/>
  </si>
  <si>
    <t>本周值</t>
    <phoneticPr fontId="1" type="noConversion"/>
  </si>
  <si>
    <t>V值 (QQQ/SPY的均值)</t>
    <phoneticPr fontId="1" type="noConversion"/>
  </si>
  <si>
    <t>N值 &gt; V值 是可以买入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</si>
</sst>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b/>
      <sz val="16"/>
      <color rgb="FFFF000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2" fillId="0" borderId="1" xfId="0" applyFont="1" applyBorder="1"/>
    <xf numFmtId="0" fontId="0" fillId="0" borderId="1" xfId="0" applyBorder="1"/>
    <xf numFmtId="0" fontId="0" fillId="2" borderId="1" xfId="0" applyFill="1" applyBorder="1"/>
    <xf numFmtId="0" fontId="4" fillId="0" borderId="1" xfId="0" applyFont="1" applyBorder="1"/>
    <xf numFmtId="0" fontId="0" fillId="3" borderId="1" xfId="0" applyFill="1" applyBorder="1"/>
    <xf numFmtId="0" fontId="2" fillId="4" borderId="1" xfId="0" applyFont="1" applyFill="1" applyBorder="1"/>
    <xf numFmtId="0" fontId="0" fillId="4" borderId="1" xfId="0" applyFill="1" applyBorder="1"/>
    <xf numFmtId="0" fontId="3" fillId="0" borderId="0" xfId="0" applyFont="1" applyAlignment="1">
      <alignment horizontal="center"/>
    </xf>
    <xf numFmtId="0" fontId="0" fillId="5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B5" sqref="B5:K5"/>
    </sheetView>
  </sheetViews>
  <sheetFormatPr defaultRowHeight="13.8" x14ac:dyDescent="0.25"/>
  <cols>
    <col min="1" max="1" width="11" customWidth="1"/>
    <col min="2" max="11" width="12.21875" customWidth="1"/>
    <col min="12" max="12" width="21.21875" customWidth="1"/>
    <col min="13" max="13" width="13.77734375" customWidth="1"/>
    <col min="14" max="15" width="26.109375" customWidth="1"/>
  </cols>
  <sheetData>
    <row r="1" spans="1:14" ht="17.399999999999999" x14ac:dyDescent="0.3">
      <c r="A1" s="9" t="s">
        <v>5</v>
      </c>
      <c r="B1" s="9"/>
      <c r="C1" s="9"/>
      <c r="D1" s="9"/>
      <c r="E1" s="9"/>
      <c r="F1" s="9"/>
      <c r="G1" s="9"/>
      <c r="H1" s="9"/>
      <c r="I1" s="9"/>
      <c r="J1" s="9"/>
      <c r="K1" s="9"/>
      <c r="L1" s="1"/>
      <c r="M1" s="1" t="s">
        <v>6</v>
      </c>
    </row>
    <row r="2" spans="1:14" x14ac:dyDescent="0.25">
      <c r="A2" s="7" t="s">
        <v>3</v>
      </c>
      <c r="B2" s="7">
        <v>1</v>
      </c>
      <c r="C2" s="7">
        <v>2</v>
      </c>
      <c r="D2" s="7">
        <v>3</v>
      </c>
      <c r="E2" s="7">
        <v>4</v>
      </c>
      <c r="F2" s="7">
        <v>5</v>
      </c>
      <c r="G2" s="7">
        <v>6</v>
      </c>
      <c r="H2" s="7">
        <v>7</v>
      </c>
      <c r="I2" s="7">
        <v>8</v>
      </c>
      <c r="J2" s="7">
        <v>9</v>
      </c>
      <c r="K2" s="7">
        <v>10</v>
      </c>
      <c r="L2" s="7" t="s">
        <v>7</v>
      </c>
      <c r="M2" s="7" t="s">
        <v>4</v>
      </c>
      <c r="N2" s="8"/>
    </row>
    <row r="3" spans="1:14" x14ac:dyDescent="0.25">
      <c r="A3" s="2" t="s">
        <v>0</v>
      </c>
      <c r="B3" s="10">
        <v>23031.21</v>
      </c>
      <c r="C3" s="4">
        <v>23578.13</v>
      </c>
      <c r="D3" s="3">
        <v>23195.17</v>
      </c>
      <c r="E3" s="3">
        <v>23307.62</v>
      </c>
      <c r="F3" s="3">
        <v>23593.1</v>
      </c>
      <c r="G3" s="3">
        <v>23235.63</v>
      </c>
      <c r="H3" s="3">
        <v>23671.35</v>
      </c>
      <c r="I3" s="3">
        <v>23515.39</v>
      </c>
      <c r="J3" s="3">
        <v>23501.24</v>
      </c>
      <c r="K3" s="3">
        <v>23461.82</v>
      </c>
      <c r="L3" s="3"/>
      <c r="M3" s="3">
        <v>22904.58</v>
      </c>
      <c r="N3" s="3"/>
    </row>
    <row r="4" spans="1:14" x14ac:dyDescent="0.25">
      <c r="A4" s="2" t="s">
        <v>1</v>
      </c>
      <c r="B4" s="10">
        <v>6932.3</v>
      </c>
      <c r="C4" s="4">
        <v>6870.4</v>
      </c>
      <c r="D4" s="3">
        <v>6827.41</v>
      </c>
      <c r="E4" s="3">
        <v>6834.5</v>
      </c>
      <c r="F4" s="3">
        <v>6929.94</v>
      </c>
      <c r="G4" s="3">
        <v>6858.47</v>
      </c>
      <c r="H4" s="3">
        <v>6966.28</v>
      </c>
      <c r="I4" s="3">
        <v>6940.01</v>
      </c>
      <c r="J4" s="3">
        <v>6915.61</v>
      </c>
      <c r="K4" s="3">
        <v>6939.03</v>
      </c>
      <c r="L4" s="3"/>
      <c r="M4" s="3">
        <v>6882.72</v>
      </c>
      <c r="N4" s="3" t="s">
        <v>8</v>
      </c>
    </row>
    <row r="5" spans="1:14" ht="20.399999999999999" x14ac:dyDescent="0.35">
      <c r="A5" s="2" t="s">
        <v>2</v>
      </c>
      <c r="B5" s="10">
        <f t="shared" ref="B5:J5" si="0">B3/B4</f>
        <v>3.322304285734893</v>
      </c>
      <c r="C5" s="4">
        <f t="shared" si="0"/>
        <v>3.4318423963670242</v>
      </c>
      <c r="D5" s="3">
        <f t="shared" si="0"/>
        <v>3.3973600530801575</v>
      </c>
      <c r="E5" s="3">
        <f t="shared" si="0"/>
        <v>3.4102889750530396</v>
      </c>
      <c r="F5" s="3">
        <f t="shared" si="0"/>
        <v>3.4045172108272221</v>
      </c>
      <c r="G5" s="3">
        <f t="shared" si="0"/>
        <v>3.3878736802814622</v>
      </c>
      <c r="H5" s="3">
        <f t="shared" si="0"/>
        <v>3.3979900319826362</v>
      </c>
      <c r="I5" s="3">
        <f t="shared" si="0"/>
        <v>3.3883798438330777</v>
      </c>
      <c r="J5" s="3">
        <f t="shared" si="0"/>
        <v>3.3982887988189043</v>
      </c>
      <c r="K5" s="3">
        <f>K3/K4</f>
        <v>3.3811382858987495</v>
      </c>
      <c r="L5" s="6">
        <f>AVERAGE(B5:K5)</f>
        <v>3.3919983561877167</v>
      </c>
      <c r="M5" s="6">
        <f>M3/M4</f>
        <v>3.3278384127205523</v>
      </c>
      <c r="N5" s="5" t="str">
        <f>IF(M5&gt;L5,"可买入","仍观望")</f>
        <v>仍观望</v>
      </c>
    </row>
  </sheetData>
  <mergeCells count="1">
    <mergeCell ref="A1:K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QQQ强弱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jiaolong</dc:creator>
  <cp:lastModifiedBy>秋天的酒</cp:lastModifiedBy>
  <dcterms:created xsi:type="dcterms:W3CDTF">2015-06-05T18:19:34Z</dcterms:created>
  <dcterms:modified xsi:type="dcterms:W3CDTF">2026-02-09T04:30:16Z</dcterms:modified>
</cp:coreProperties>
</file>